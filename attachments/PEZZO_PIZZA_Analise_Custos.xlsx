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álise Rápida" sheetId="1" state="visible" r:id="rId2"/>
    <sheet name="Detalhes e Conclusão" sheetId="2" state="visible" r:id="rId3"/>
    <sheet name="Ficha de Custos Editável" sheetId="3" state="visible" r:id="rId4"/>
  </sheets>
  <definedNames>
    <definedName function="false" hidden="true" localSheetId="0" name="_xlnm._FilterDatabase" vbProcedure="false">'Análise Rápida'!$A$4:$G$10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<sst xmlns="http://schemas.openxmlformats.org/spreadsheetml/2006/main" count="93" uniqueCount="81">
  <si>
    <t xml:space="preserve">PEZZO PIZZA — Análise Rápida de Produtos</t>
  </si>
  <si>
    <t xml:space="preserve">Data: Outubro 2026 | Moeda: Kwanzas (KZ) | Gestão pelo agente</t>
  </si>
  <si>
    <t xml:space="preserve">Produto</t>
  </si>
  <si>
    <t xml:space="preserve">Preço de Venda (KZ)</t>
  </si>
  <si>
    <t xml:space="preserve">Custo Estimado Ingredientes (KZ)</t>
  </si>
  <si>
    <t xml:space="preserve">Food Cost (%)</t>
  </si>
  <si>
    <t xml:space="preserve">Margem Bruta Estimada</t>
  </si>
  <si>
    <t xml:space="preserve">Comentário</t>
  </si>
  <si>
    <t xml:space="preserve">Prioridade</t>
  </si>
  <si>
    <t xml:space="preserve">Magoga Normal / Tradicional</t>
  </si>
  <si>
    <t xml:space="preserve">Melhor margem. Frango + pão + salada + molhos. Muito competitiva.</t>
  </si>
  <si>
    <t xml:space="preserve">Alta</t>
  </si>
  <si>
    <t xml:space="preserve">Magoga com Molho Barbecue</t>
  </si>
  <si>
    <t xml:space="preserve">Margem excelente. Pequeno acréscimo de molho.</t>
  </si>
  <si>
    <t xml:space="preserve">Pezzo Burger</t>
  </si>
  <si>
    <t xml:space="preserve">Excelente margem. Hambúrguer de frango ~100 g + pão + extras.</t>
  </si>
  <si>
    <t xml:space="preserve">Pocket Pizza (média)</t>
  </si>
  <si>
    <t xml:space="preserve">Boa. Porção individual com menos queijo e massa.</t>
  </si>
  <si>
    <t xml:space="preserve">Média</t>
  </si>
  <si>
    <t xml:space="preserve">Pizza 8 fatias (média)</t>
  </si>
  <si>
    <t xml:space="preserve">Aceitável. Queijo é o maior custo. Controlar porção 180-220 g.</t>
  </si>
  <si>
    <t xml:space="preserve">Pizza 8 fatias (premium)</t>
  </si>
  <si>
    <t xml:space="preserve">Melhor margem relativa nos sabores caros.</t>
  </si>
  <si>
    <t xml:space="preserve">Média-Alta</t>
  </si>
  <si>
    <t xml:space="preserve">Notas: Valores de custo são estimativas baseadas em preços de mercado de Luanda (Outubro 2026). Edite na folha "Ficha de Custos" para precisão. Food Cost ideal em pizzaria: 25-35% (até 40% aceitável com delivery).</t>
  </si>
  <si>
    <t xml:space="preserve">PEZZO PIZZA — Detalhes Importantes e Conclusão</t>
  </si>
  <si>
    <t xml:space="preserve">DETALHES IMPORTANTES</t>
  </si>
  <si>
    <t xml:space="preserve">Ingrediente</t>
  </si>
  <si>
    <t xml:space="preserve">Preço de Referência (Luanda, Out 2026)</t>
  </si>
  <si>
    <t xml:space="preserve">Queijo muçarela (varejo)</t>
  </si>
  <si>
    <t xml:space="preserve">15.000 – 20.000 KZ/kg</t>
  </si>
  <si>
    <t xml:space="preserve">Peito de frango (varejo)</t>
  </si>
  <si>
    <t xml:space="preserve">5.000 – 8.000 KZ/kg</t>
  </si>
  <si>
    <t xml:space="preserve">Coxa / Sobrecoxa (grosso)</t>
  </si>
  <si>
    <t xml:space="preserve">2.500 – 4.000 KZ/kg</t>
  </si>
  <si>
    <t xml:space="preserve">Pão / Massa base</t>
  </si>
  <si>
    <t xml:space="preserve">Baixo custo relativo</t>
  </si>
  <si>
    <t xml:space="preserve">Molhos e vegetais</t>
  </si>
  <si>
    <t xml:space="preserve">Variável, baixo impacto</t>
  </si>
  <si>
    <t xml:space="preserve">RECOMENDAÇÕES DE PORÇÃO</t>
  </si>
  <si>
    <t xml:space="preserve">• Queijo por pizza 8 fatias: 180–220 g (máximo 250 g)</t>
  </si>
  <si>
    <t xml:space="preserve">• Magoga: 100–150 g de frango por sandes</t>
  </si>
  <si>
    <t xml:space="preserve">• Hambúrguer de frango: 80–120 g de peito triturado</t>
  </si>
  <si>
    <t xml:space="preserve">• Barra de queijo 2,5 kg → 12 a 13 pizzas a 200 g</t>
  </si>
  <si>
    <t xml:space="preserve">CONCLUSÃO</t>
  </si>
  <si>
    <t xml:space="preserve">• Os preços do menu compensam bem, especialmente Magoga e Hambúrguer (margens altas).</t>
  </si>
  <si>
    <t xml:space="preserve">• As pizzas estão competitivas com o mercado de delivery de Luanda (8.000–15.000 KZ em concorrentes).</t>
  </si>
  <si>
    <t xml:space="preserve">• Controlar a porção de queijo é crítico para a rentabilidade das pizzas.</t>
  </si>
  <si>
    <t xml:space="preserve">• Magoga e Burger são os produtos de maior rentabilidade e devem ser prioritários.</t>
  </si>
  <si>
    <t xml:space="preserve">• Recomenda-se actualizar os custos reais de compra na folha "Ficha de Custos Editável" para gestão precisa.</t>
  </si>
  <si>
    <t xml:space="preserve">• Food cost alvo: manter abaixo de 40% no total, idealmente 30-35% nas pizzas.</t>
  </si>
  <si>
    <t xml:space="preserve">PEZZO PIZZA — Ficha de Custos Editável (para o agente)</t>
  </si>
  <si>
    <t xml:space="preserve">Instruções: Preencha as células amarelas com os preços reais de compra e quantidades exactas. As fórmulas calculam automaticamente o custo e a margem.</t>
  </si>
  <si>
    <t xml:space="preserve">PREÇOS UNITÁRIOS DE INGREDIENTES (KZ por kg ou unidade)</t>
  </si>
  <si>
    <t xml:space="preserve">Preço Unitário (KZ)</t>
  </si>
  <si>
    <t xml:space="preserve">Unidade</t>
  </si>
  <si>
    <t xml:space="preserve">Queijo muçarela</t>
  </si>
  <si>
    <t xml:space="preserve">kg</t>
  </si>
  <si>
    <t xml:space="preserve">Peito de frango</t>
  </si>
  <si>
    <t xml:space="preserve">Coxa/Sob re coxa</t>
  </si>
  <si>
    <t xml:space="preserve">Pão / Massa pizza</t>
  </si>
  <si>
    <t xml:space="preserve">unid ou kg</t>
  </si>
  <si>
    <t xml:space="preserve">Molho de tomate</t>
  </si>
  <si>
    <t xml:space="preserve">Outros (vegetais, molhos, etc.)</t>
  </si>
  <si>
    <t xml:space="preserve">estimado por produto</t>
  </si>
  <si>
    <t xml:space="preserve">FICHA POR PRODUTO (edite quantidades)</t>
  </si>
  <si>
    <t xml:space="preserve">Preço Venda (KZ)</t>
  </si>
  <si>
    <t xml:space="preserve">Queijo (g)</t>
  </si>
  <si>
    <t xml:space="preserve">Frango (g)</t>
  </si>
  <si>
    <t xml:space="preserve">Pão/Massa (un)</t>
  </si>
  <si>
    <t xml:space="preserve">Outros (KZ)</t>
  </si>
  <si>
    <t xml:space="preserve">Custo Total (KZ)</t>
  </si>
  <si>
    <t xml:space="preserve">Margem (KZ)</t>
  </si>
  <si>
    <t xml:space="preserve">Margem (%)</t>
  </si>
  <si>
    <t xml:space="preserve">Magoga Normal</t>
  </si>
  <si>
    <t xml:space="preserve">Magoga Barbecue</t>
  </si>
  <si>
    <t xml:space="preserve">Pocket Pizza</t>
  </si>
  <si>
    <t xml:space="preserve">RESUMO (actualiza automaticamente)</t>
  </si>
  <si>
    <t xml:space="preserve">Média Food Cost (produtos)</t>
  </si>
  <si>
    <t xml:space="preserve">Produto com maior margem (%)</t>
  </si>
  <si>
    <t xml:space="preserve">Dica para o agente: Actualize os preços unitários (células amarelas acima) sempre que comprar ingredientes. Ajuste as quantidades por produto conforme a ficha técnica real. As células azuis/amarelas são editáveis; as pretas são fórmulas.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</si>
</sst>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9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99"/>
        <bgColor rgb="FFFFFFCC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55"/>
    <col collapsed="false" customWidth="true" hidden="false" outlineLevel="0" max="7" min="7" style="0" width="14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4.5" hidden="false" customHeight="true" outlineLevel="0" collapsed="false">
      <c r="A5" s="4" t="s">
        <v>9</v>
      </c>
      <c r="B5" s="5" t="n">
        <v>2000</v>
      </c>
      <c r="C5" s="6" t="n">
        <v>1100</v>
      </c>
      <c r="D5" s="7" t="n">
        <f aca="false">C5/B5</f>
        <v>0.55</v>
      </c>
      <c r="E5" s="8" t="n">
        <f aca="false">B5-C5</f>
        <v>900</v>
      </c>
      <c r="F5" s="9" t="s">
        <v>10</v>
      </c>
      <c r="G5" s="4" t="s">
        <v>11</v>
      </c>
    </row>
    <row r="6" customFormat="false" ht="34.5" hidden="false" customHeight="true" outlineLevel="0" collapsed="false">
      <c r="A6" s="4" t="s">
        <v>12</v>
      </c>
      <c r="B6" s="5" t="n">
        <v>2500</v>
      </c>
      <c r="C6" s="6" t="n">
        <v>1250</v>
      </c>
      <c r="D6" s="7" t="n">
        <f aca="false">C6/B6</f>
        <v>0.5</v>
      </c>
      <c r="E6" s="8" t="n">
        <f aca="false">B6-C6</f>
        <v>1250</v>
      </c>
      <c r="F6" s="9" t="s">
        <v>13</v>
      </c>
      <c r="G6" s="4" t="s">
        <v>11</v>
      </c>
    </row>
    <row r="7" customFormat="false" ht="34.5" hidden="false" customHeight="true" outlineLevel="0" collapsed="false">
      <c r="A7" s="4" t="s">
        <v>14</v>
      </c>
      <c r="B7" s="5" t="n">
        <v>4500</v>
      </c>
      <c r="C7" s="6" t="n">
        <v>1400</v>
      </c>
      <c r="D7" s="7" t="n">
        <f aca="false">C7/B7</f>
        <v>0.311111111111111</v>
      </c>
      <c r="E7" s="8" t="n">
        <f aca="false">B7-C7</f>
        <v>3100</v>
      </c>
      <c r="F7" s="9" t="s">
        <v>15</v>
      </c>
      <c r="G7" s="4" t="s">
        <v>11</v>
      </c>
    </row>
    <row r="8" customFormat="false" ht="34.5" hidden="false" customHeight="true" outlineLevel="0" collapsed="false">
      <c r="A8" s="4" t="s">
        <v>16</v>
      </c>
      <c r="B8" s="5" t="n">
        <v>5500</v>
      </c>
      <c r="C8" s="6" t="n">
        <v>2300</v>
      </c>
      <c r="D8" s="7" t="n">
        <f aca="false">C8/B8</f>
        <v>0.418181818181818</v>
      </c>
      <c r="E8" s="8" t="n">
        <f aca="false">B8-C8</f>
        <v>3200</v>
      </c>
      <c r="F8" s="9" t="s">
        <v>17</v>
      </c>
      <c r="G8" s="4" t="s">
        <v>18</v>
      </c>
    </row>
    <row r="9" customFormat="false" ht="34.5" hidden="false" customHeight="true" outlineLevel="0" collapsed="false">
      <c r="A9" s="4" t="s">
        <v>19</v>
      </c>
      <c r="B9" s="5" t="n">
        <v>12500</v>
      </c>
      <c r="C9" s="6" t="n">
        <v>5500</v>
      </c>
      <c r="D9" s="7" t="n">
        <f aca="false">C9/B9</f>
        <v>0.44</v>
      </c>
      <c r="E9" s="8" t="n">
        <f aca="false">B9-C9</f>
        <v>7000</v>
      </c>
      <c r="F9" s="9" t="s">
        <v>20</v>
      </c>
      <c r="G9" s="4" t="s">
        <v>18</v>
      </c>
    </row>
    <row r="10" customFormat="false" ht="34.5" hidden="false" customHeight="true" outlineLevel="0" collapsed="false">
      <c r="A10" s="4" t="s">
        <v>21</v>
      </c>
      <c r="B10" s="5" t="n">
        <v>16000</v>
      </c>
      <c r="C10" s="6" t="n">
        <v>6500</v>
      </c>
      <c r="D10" s="7" t="n">
        <f aca="false">C10/B10</f>
        <v>0.40625</v>
      </c>
      <c r="E10" s="8" t="n">
        <f aca="false">B10-C10</f>
        <v>9500</v>
      </c>
      <c r="F10" s="9" t="s">
        <v>22</v>
      </c>
      <c r="G10" s="4" t="s">
        <v>23</v>
      </c>
    </row>
    <row r="12" customFormat="false" ht="15" hidden="false" customHeight="true" outlineLevel="0" collapsed="false">
      <c r="A12" s="10" t="s">
        <v>24</v>
      </c>
      <c r="B12" s="10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</row>
  </sheetData>
  <autoFilter ref="A4:G10"/>
  <mergeCells count="3">
    <mergeCell ref="A1:G1"/>
    <mergeCell ref="A2:G2"/>
    <mergeCell ref="A12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1" t="s">
        <v>25</v>
      </c>
      <c r="B1" s="1"/>
    </row>
    <row r="3" customFormat="false" ht="15" hidden="false" customHeight="false" outlineLevel="0" collapsed="false">
      <c r="A3" s="11" t="s">
        <v>26</v>
      </c>
      <c r="B3" s="11"/>
    </row>
    <row r="4" customFormat="false" ht="15" hidden="false" customHeight="false" outlineLevel="0" collapsed="false">
      <c r="A4" s="12" t="s">
        <v>27</v>
      </c>
      <c r="B4" s="12" t="s">
        <v>28</v>
      </c>
    </row>
    <row r="5" customFormat="false" ht="15" hidden="false" customHeight="false" outlineLevel="0" collapsed="false">
      <c r="A5" s="9" t="s">
        <v>29</v>
      </c>
      <c r="B5" s="9" t="s">
        <v>30</v>
      </c>
    </row>
    <row r="6" customFormat="false" ht="15" hidden="false" customHeight="false" outlineLevel="0" collapsed="false">
      <c r="A6" s="9" t="s">
        <v>31</v>
      </c>
      <c r="B6" s="9" t="s">
        <v>32</v>
      </c>
    </row>
    <row r="7" customFormat="false" ht="15" hidden="false" customHeight="false" outlineLevel="0" collapsed="false">
      <c r="A7" s="9" t="s">
        <v>33</v>
      </c>
      <c r="B7" s="9" t="s">
        <v>34</v>
      </c>
    </row>
    <row r="8" customFormat="false" ht="15" hidden="false" customHeight="false" outlineLevel="0" collapsed="false">
      <c r="A8" s="9" t="s">
        <v>35</v>
      </c>
      <c r="B8" s="9" t="s">
        <v>36</v>
      </c>
    </row>
    <row r="9" customFormat="false" ht="15" hidden="false" customHeight="false" outlineLevel="0" collapsed="false">
      <c r="A9" s="9" t="s">
        <v>37</v>
      </c>
      <c r="B9" s="9" t="s">
        <v>38</v>
      </c>
    </row>
    <row r="11" customFormat="false" ht="15" hidden="false" customHeight="false" outlineLevel="0" collapsed="false">
      <c r="A11" s="13" t="s">
        <v>39</v>
      </c>
    </row>
    <row r="12" customFormat="false" ht="15" hidden="false" customHeight="false" outlineLevel="0" collapsed="false">
      <c r="A12" s="14" t="s">
        <v>40</v>
      </c>
      <c r="B12" s="14"/>
    </row>
    <row r="13" customFormat="false" ht="15" hidden="false" customHeight="false" outlineLevel="0" collapsed="false">
      <c r="A13" s="14" t="s">
        <v>41</v>
      </c>
      <c r="B13" s="14"/>
    </row>
    <row r="14" customFormat="false" ht="15" hidden="false" customHeight="false" outlineLevel="0" collapsed="false">
      <c r="A14" s="14" t="s">
        <v>42</v>
      </c>
      <c r="B14" s="14"/>
    </row>
    <row r="15" customFormat="false" ht="15" hidden="false" customHeight="false" outlineLevel="0" collapsed="false">
      <c r="A15" s="14" t="s">
        <v>43</v>
      </c>
      <c r="B15" s="14"/>
    </row>
    <row r="17" customFormat="false" ht="15" hidden="false" customHeight="false" outlineLevel="0" collapsed="false">
      <c r="A17" s="13" t="s">
        <v>44</v>
      </c>
    </row>
    <row r="18" customFormat="false" ht="15" hidden="false" customHeight="false" outlineLevel="0" collapsed="false">
      <c r="A18" s="14" t="s">
        <v>45</v>
      </c>
      <c r="B18" s="14"/>
    </row>
    <row r="19" customFormat="false" ht="15" hidden="false" customHeight="false" outlineLevel="0" collapsed="false">
      <c r="A19" s="14" t="s">
        <v>46</v>
      </c>
      <c r="B19" s="14"/>
    </row>
    <row r="20" customFormat="false" ht="15" hidden="false" customHeight="false" outlineLevel="0" collapsed="false">
      <c r="A20" s="14" t="s">
        <v>47</v>
      </c>
      <c r="B20" s="14"/>
    </row>
    <row r="21" customFormat="false" ht="15" hidden="false" customHeight="false" outlineLevel="0" collapsed="false">
      <c r="A21" s="14" t="s">
        <v>48</v>
      </c>
      <c r="B21" s="14"/>
    </row>
    <row r="22" customFormat="false" ht="15" hidden="false" customHeight="false" outlineLevel="0" collapsed="false">
      <c r="A22" s="14" t="s">
        <v>49</v>
      </c>
      <c r="B22" s="14"/>
    </row>
    <row r="23" customFormat="false" ht="15" hidden="false" customHeight="false" outlineLevel="0" collapsed="false">
      <c r="A23" s="14" t="s">
        <v>50</v>
      </c>
      <c r="B23" s="14"/>
    </row>
  </sheetData>
  <mergeCells count="12">
    <mergeCell ref="A1:B1"/>
    <mergeCell ref="A3:B3"/>
    <mergeCell ref="A12:B12"/>
    <mergeCell ref="A13:B13"/>
    <mergeCell ref="A14:B14"/>
    <mergeCell ref="A15:B15"/>
    <mergeCell ref="A18:B18"/>
    <mergeCell ref="A19:B19"/>
    <mergeCell ref="A20:B20"/>
    <mergeCell ref="A21:B21"/>
    <mergeCell ref="A22:B22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0" min="10" style="0" width="14"/>
  </cols>
  <sheetData>
    <row r="1" customFormat="false" ht="24.7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5" t="s">
        <v>52</v>
      </c>
      <c r="B2" s="15"/>
      <c r="C2" s="15"/>
      <c r="D2" s="15"/>
      <c r="E2" s="15"/>
      <c r="F2" s="15"/>
      <c r="G2" s="15"/>
      <c r="H2" s="15"/>
    </row>
    <row r="4" customFormat="false" ht="15" hidden="false" customHeight="false" outlineLevel="0" collapsed="false">
      <c r="A4" s="11" t="s">
        <v>53</v>
      </c>
      <c r="B4" s="11"/>
      <c r="C4" s="11"/>
    </row>
    <row r="5" customFormat="false" ht="15" hidden="false" customHeight="false" outlineLevel="0" collapsed="false">
      <c r="A5" s="12" t="s">
        <v>27</v>
      </c>
      <c r="B5" s="3" t="s">
        <v>54</v>
      </c>
      <c r="C5" s="3" t="s">
        <v>55</v>
      </c>
    </row>
    <row r="6" customFormat="false" ht="15" hidden="false" customHeight="false" outlineLevel="0" collapsed="false">
      <c r="A6" s="9" t="s">
        <v>56</v>
      </c>
      <c r="B6" s="6" t="n">
        <v>17000</v>
      </c>
      <c r="C6" s="4" t="s">
        <v>57</v>
      </c>
    </row>
    <row r="7" customFormat="false" ht="15" hidden="false" customHeight="false" outlineLevel="0" collapsed="false">
      <c r="A7" s="9" t="s">
        <v>58</v>
      </c>
      <c r="B7" s="6" t="n">
        <v>6000</v>
      </c>
      <c r="C7" s="4" t="s">
        <v>57</v>
      </c>
    </row>
    <row r="8" customFormat="false" ht="15" hidden="false" customHeight="false" outlineLevel="0" collapsed="false">
      <c r="A8" s="9" t="s">
        <v>59</v>
      </c>
      <c r="B8" s="6" t="n">
        <v>3500</v>
      </c>
      <c r="C8" s="4" t="s">
        <v>57</v>
      </c>
    </row>
    <row r="9" customFormat="false" ht="15" hidden="false" customHeight="false" outlineLevel="0" collapsed="false">
      <c r="A9" s="9" t="s">
        <v>60</v>
      </c>
      <c r="B9" s="6" t="n">
        <v>800</v>
      </c>
      <c r="C9" s="4" t="s">
        <v>61</v>
      </c>
    </row>
    <row r="10" customFormat="false" ht="15" hidden="false" customHeight="false" outlineLevel="0" collapsed="false">
      <c r="A10" s="9" t="s">
        <v>62</v>
      </c>
      <c r="B10" s="6" t="n">
        <v>1500</v>
      </c>
      <c r="C10" s="4" t="s">
        <v>57</v>
      </c>
    </row>
    <row r="11" customFormat="false" ht="15" hidden="false" customHeight="false" outlineLevel="0" collapsed="false">
      <c r="A11" s="9" t="s">
        <v>63</v>
      </c>
      <c r="B11" s="6" t="n">
        <v>2000</v>
      </c>
      <c r="C11" s="4" t="s">
        <v>64</v>
      </c>
    </row>
    <row r="13" customFormat="false" ht="15" hidden="false" customHeight="false" outlineLevel="0" collapsed="false">
      <c r="A13" s="11" t="s">
        <v>65</v>
      </c>
      <c r="B13" s="11"/>
      <c r="C13" s="11"/>
      <c r="D13" s="11"/>
      <c r="E13" s="11"/>
      <c r="F13" s="11"/>
      <c r="G13" s="11"/>
      <c r="H13" s="11"/>
    </row>
    <row r="14" customFormat="false" ht="34.5" hidden="false" customHeight="true" outlineLevel="0" collapsed="false">
      <c r="A14" s="16" t="s">
        <v>2</v>
      </c>
      <c r="B14" s="16" t="s">
        <v>66</v>
      </c>
      <c r="C14" s="16" t="s">
        <v>67</v>
      </c>
      <c r="D14" s="16" t="s">
        <v>68</v>
      </c>
      <c r="E14" s="16" t="s">
        <v>69</v>
      </c>
      <c r="F14" s="16" t="s">
        <v>70</v>
      </c>
      <c r="G14" s="16" t="s">
        <v>71</v>
      </c>
      <c r="H14" s="16" t="s">
        <v>5</v>
      </c>
      <c r="I14" s="16" t="s">
        <v>72</v>
      </c>
      <c r="J14" s="16" t="s">
        <v>73</v>
      </c>
    </row>
    <row r="15" customFormat="false" ht="15" hidden="false" customHeight="false" outlineLevel="0" collapsed="false">
      <c r="A15" s="17" t="s">
        <v>74</v>
      </c>
      <c r="B15" s="6" t="n">
        <v>2000</v>
      </c>
      <c r="C15" s="6" t="n">
        <v>0</v>
      </c>
      <c r="D15" s="6" t="n">
        <v>130</v>
      </c>
      <c r="E15" s="18" t="n">
        <v>1</v>
      </c>
      <c r="F15" s="18" t="n">
        <v>400</v>
      </c>
      <c r="G15" s="8" t="n">
        <f aca="false">(C15/1000)* + (D15/1000)* + E15* + F15</f>
        <v>0</v>
      </c>
      <c r="H15" s="7" t="n">
        <f aca="false">IF(B15=0,0,G15/B15)</f>
        <v>0</v>
      </c>
      <c r="I15" s="8" t="n">
        <f aca="false">B15-G15</f>
        <v>2000</v>
      </c>
      <c r="J15" s="7" t="n">
        <f aca="false">IF(B15=0,0,I15/B15)</f>
        <v>1</v>
      </c>
    </row>
    <row r="16" customFormat="false" ht="15" hidden="false" customHeight="false" outlineLevel="0" collapsed="false">
      <c r="A16" s="17" t="s">
        <v>75</v>
      </c>
      <c r="B16" s="6" t="n">
        <v>2500</v>
      </c>
      <c r="C16" s="6" t="n">
        <v>0</v>
      </c>
      <c r="D16" s="6" t="n">
        <v>130</v>
      </c>
      <c r="E16" s="18" t="n">
        <v>1</v>
      </c>
      <c r="F16" s="18" t="n">
        <v>550</v>
      </c>
      <c r="G16" s="8" t="n">
        <f aca="false">(C16/1000)* + (D16/1000)* + E16* + F16</f>
        <v>0</v>
      </c>
      <c r="H16" s="7" t="n">
        <f aca="false">IF(B16=0,0,G16/B16)</f>
        <v>0</v>
      </c>
      <c r="I16" s="8" t="n">
        <f aca="false">B16-G16</f>
        <v>2500</v>
      </c>
      <c r="J16" s="7" t="n">
        <f aca="false">IF(B16=0,0,I16/B16)</f>
        <v>1</v>
      </c>
    </row>
    <row r="17" customFormat="false" ht="15" hidden="false" customHeight="false" outlineLevel="0" collapsed="false">
      <c r="A17" s="17" t="s">
        <v>14</v>
      </c>
      <c r="B17" s="6" t="n">
        <v>4500</v>
      </c>
      <c r="C17" s="6" t="n">
        <v>0</v>
      </c>
      <c r="D17" s="6" t="n">
        <v>110</v>
      </c>
      <c r="E17" s="18" t="n">
        <v>1</v>
      </c>
      <c r="F17" s="18" t="n">
        <v>600</v>
      </c>
      <c r="G17" s="8" t="n">
        <f aca="false">(C17/1000)* + (D17/1000)* + E17* + F17</f>
        <v>0</v>
      </c>
      <c r="H17" s="7" t="n">
        <f aca="false">IF(B17=0,0,G17/B17)</f>
        <v>0</v>
      </c>
      <c r="I17" s="8" t="n">
        <f aca="false">B17-G17</f>
        <v>4500</v>
      </c>
      <c r="J17" s="7" t="n">
        <f aca="false">IF(B17=0,0,I17/B17)</f>
        <v>1</v>
      </c>
    </row>
    <row r="18" customFormat="false" ht="15" hidden="false" customHeight="false" outlineLevel="0" collapsed="false">
      <c r="A18" s="17" t="s">
        <v>76</v>
      </c>
      <c r="B18" s="6" t="n">
        <v>5500</v>
      </c>
      <c r="C18" s="6" t="n">
        <v>80</v>
      </c>
      <c r="D18" s="6" t="n">
        <v>0</v>
      </c>
      <c r="E18" s="18" t="n">
        <v>1</v>
      </c>
      <c r="F18" s="18" t="n">
        <v>800</v>
      </c>
      <c r="G18" s="8" t="n">
        <f aca="false">(C18/1000)* + (D18/1000)* + E18* + F18</f>
        <v>0</v>
      </c>
      <c r="H18" s="7" t="n">
        <f aca="false">IF(B18=0,0,G18/B18)</f>
        <v>0</v>
      </c>
      <c r="I18" s="8" t="n">
        <f aca="false">B18-G18</f>
        <v>5500</v>
      </c>
      <c r="J18" s="7" t="n">
        <f aca="false">IF(B18=0,0,I18/B18)</f>
        <v>1</v>
      </c>
    </row>
    <row r="19" customFormat="false" ht="15" hidden="false" customHeight="false" outlineLevel="0" collapsed="false">
      <c r="A19" s="17" t="s">
        <v>19</v>
      </c>
      <c r="B19" s="6" t="n">
        <v>12500</v>
      </c>
      <c r="C19" s="6" t="n">
        <v>200</v>
      </c>
      <c r="D19" s="6" t="n">
        <v>0</v>
      </c>
      <c r="E19" s="18" t="n">
        <v>1</v>
      </c>
      <c r="F19" s="18" t="n">
        <v>1800</v>
      </c>
      <c r="G19" s="8" t="n">
        <f aca="false">(C19/1000)* + (D19/1000)* + E19* + F19</f>
        <v>0</v>
      </c>
      <c r="H19" s="7" t="n">
        <f aca="false">IF(B19=0,0,G19/B19)</f>
        <v>0</v>
      </c>
      <c r="I19" s="8" t="n">
        <f aca="false">B19-G19</f>
        <v>12500</v>
      </c>
      <c r="J19" s="7" t="n">
        <f aca="false">IF(B19=0,0,I19/B19)</f>
        <v>1</v>
      </c>
    </row>
    <row r="20" customFormat="false" ht="15" hidden="false" customHeight="false" outlineLevel="0" collapsed="false">
      <c r="A20" s="17" t="s">
        <v>21</v>
      </c>
      <c r="B20" s="6" t="n">
        <v>16000</v>
      </c>
      <c r="C20" s="6" t="n">
        <v>220</v>
      </c>
      <c r="D20" s="6" t="n">
        <v>50</v>
      </c>
      <c r="E20" s="18" t="n">
        <v>1</v>
      </c>
      <c r="F20" s="18" t="n">
        <v>2200</v>
      </c>
      <c r="G20" s="8" t="n">
        <f aca="false">(C20/1000)* + (D20/1000)* + E20* + F20</f>
        <v>24.2</v>
      </c>
      <c r="H20" s="7" t="n">
        <f aca="false">IF(B20=0,0,G20/B20)</f>
        <v>0.0015125</v>
      </c>
      <c r="I20" s="8" t="n">
        <f aca="false">B20-G20</f>
        <v>15975.8</v>
      </c>
      <c r="J20" s="7" t="n">
        <f aca="false">IF(B20=0,0,I20/B20)</f>
        <v>0.9984875</v>
      </c>
    </row>
    <row r="22" customFormat="false" ht="15" hidden="false" customHeight="false" outlineLevel="0" collapsed="false">
      <c r="A22" s="13" t="s">
        <v>77</v>
      </c>
    </row>
    <row r="23" customFormat="false" ht="15" hidden="false" customHeight="false" outlineLevel="0" collapsed="false">
      <c r="A23" s="0" t="s">
        <v>78</v>
      </c>
      <c r="B23" s="19" t="n">
        <f aca="false">AVERAGE(H15:H20)</f>
        <v>0.000252083333333333</v>
      </c>
    </row>
    <row r="24" customFormat="false" ht="15" hidden="false" customHeight="false" outlineLevel="0" collapsed="false">
      <c r="A24" s="0" t="s">
        <v>79</v>
      </c>
      <c r="B24" s="20" t="str">
        <f aca="false">INDEX(A15:A20,MATCH(MAX(J15:J20),J15:J20,0))</f>
        <v>Magoga Normal</v>
      </c>
    </row>
    <row r="26" customFormat="false" ht="15" hidden="false" customHeight="true" outlineLevel="0" collapsed="false">
      <c r="A26" s="10" t="s">
        <v>80</v>
      </c>
      <c r="B26" s="10"/>
      <c r="C26" s="10"/>
      <c r="D26" s="10"/>
      <c r="E26" s="10"/>
      <c r="F26" s="10"/>
      <c r="G26" s="10"/>
      <c r="H26" s="10"/>
      <c r="I26" s="10"/>
      <c r="J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</row>
  </sheetData>
  <mergeCells count="5">
    <mergeCell ref="A1:H1"/>
    <mergeCell ref="A2:H2"/>
    <mergeCell ref="A4:C4"/>
    <mergeCell ref="A13:H13"/>
    <mergeCell ref="A26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2026-10-18T11:22:34Z</dcterms:created>
  <dc:creator>openpyxl</dc:creator>
  <dc:description/>
  <dc:language>en-US</dc:language>
  <cp:lastModifiedBy/>
  <dcterms:modified xsi:type="dcterms:W3CDTF">2026-10-18T11:22:34Z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